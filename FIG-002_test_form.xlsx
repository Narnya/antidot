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Ильнур/app to meet/"/>
    </mc:Choice>
  </mc:AlternateContent>
  <xr:revisionPtr revIDLastSave="0" documentId="13_ncr:1_{0678E186-D398-F34B-88D5-A7C3416BC36A}" xr6:coauthVersionLast="47" xr6:coauthVersionMax="47" xr10:uidLastSave="{00000000-0000-0000-0000-000000000000}"/>
  <bookViews>
    <workbookView xWindow="0" yWindow="760" windowWidth="34560" windowHeight="20240" activeTab="9" xr2:uid="{00000000-000D-0000-FFFF-FFFF00000000}"/>
  </bookViews>
  <sheets>
    <sheet name="1. Старт" sheetId="1" r:id="rId1"/>
    <sheet name="2. Первое впечатление" sheetId="2" r:id="rId2"/>
    <sheet name="3. Основной путь" sheetId="3" r:id="rId3"/>
    <sheet name="4. Точное место" sheetId="4" r:id="rId4"/>
    <sheet name="5. Подтверждение" sheetId="5" r:id="rId5"/>
    <sheet name="6. Организатор" sheetId="6" r:id="rId6"/>
    <sheet name="7. Жалоба и блок" sheetId="7" r:id="rId7"/>
    <sheet name="8. Чат встречи" sheetId="8" r:id="rId8"/>
    <sheet name="9. Модератор" sheetId="9" r:id="rId9"/>
    <sheet name="10. Финал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3" i="8"/>
  <c r="A4" i="7"/>
  <c r="A3" i="6"/>
  <c r="A4" i="5"/>
  <c r="A3" i="5"/>
  <c r="A5" i="4"/>
  <c r="A4" i="4"/>
  <c r="A3" i="4"/>
  <c r="A4" i="3"/>
  <c r="A3" i="2"/>
  <c r="A19" i="1"/>
</calcChain>
</file>

<file path=xl/sharedStrings.xml><?xml version="1.0" encoding="utf-8"?>
<sst xmlns="http://schemas.openxmlformats.org/spreadsheetml/2006/main" count="251" uniqueCount="155">
  <si>
    <t>Тест прототипа Social Events App — FIG-002</t>
  </si>
  <si>
    <t>Спасибо, что согласились пройти тест!</t>
  </si>
  <si>
    <t>Это тест продукта, а не вас. Все ответы помогут сделать приложение понятнее и безопаснее.</t>
  </si>
  <si>
    <t>Сколько времени займёт</t>
  </si>
  <si>
    <t>15–25 минут. Можно дробить на 2 захода (например, основной путь + остальное).</t>
  </si>
  <si>
    <t>Как проходить</t>
  </si>
  <si>
    <t>1. Открывайте Figma по ссылкам в каждом разделе — они откроют прототип сразу в Present-режиме (играбельный кликабельный макет).</t>
  </si>
  <si>
    <t>2. В каждом разделе сначала прочитайте короткую инструкцию, попробуйте сделать задание в Figma, потом отвечайте на вопросы.</t>
  </si>
  <si>
    <t>3. Отвечайте честно — даже если кажется, что вопрос «глупый». Если что-то непонятно — это важная информация для нас.</t>
  </si>
  <si>
    <t>4. После заполнения — сохраните файл и отправьте обратно.</t>
  </si>
  <si>
    <t>Важно</t>
  </si>
  <si>
    <t>Не подглядывайте в вопросы перед прохождением задания — мы хотим понять ваше первое восприятие.</t>
  </si>
  <si>
    <t>Не ищите «правильный ответ». Правильного ответа нет. Важно ваше реальное впечатление.</t>
  </si>
  <si>
    <t>Где Figma</t>
  </si>
  <si>
    <t>Если открывается не сразу в Present-режиме — нажмите кнопку «Play» (треугольник) в правом верхнем углу Figma.</t>
  </si>
  <si>
    <t>Немного о вас (по желанию, можно пропустить)</t>
  </si>
  <si>
    <t>Имя или псевдоним</t>
  </si>
  <si>
    <t>Возраст</t>
  </si>
  <si>
    <t>Город</t>
  </si>
  <si>
    <t>Пользуетесь ли сейчас приложениями для знакомств? (да / нет / раньше)</t>
  </si>
  <si>
    <t>Как часто ходите на офлайн-встречи с новыми людьми? (часто / иногда / редко / никогда)</t>
  </si>
  <si>
    <t>Что вы хотели бы найти в идеальном приложении для офлайн-встреч?</t>
  </si>
  <si>
    <t>Раздел 1 — Первое впечатление</t>
  </si>
  <si>
    <t>Откройте Figma по ссылке ниже. Посмотрите первый экран (Welcome) примерно 10 секунд, ничего пока не нажимая. Потом ответьте на вопросы.</t>
  </si>
  <si>
    <t>№</t>
  </si>
  <si>
    <t>Вопрос</t>
  </si>
  <si>
    <t>Ваш ответ</t>
  </si>
  <si>
    <t>1</t>
  </si>
  <si>
    <t>Как вы думаете, что это за продукт?</t>
  </si>
  <si>
    <t>2</t>
  </si>
  <si>
    <t>Для кого, по вашему ощущению, это приложение?</t>
  </si>
  <si>
    <t>3</t>
  </si>
  <si>
    <t>Что вы ожидаете здесь делать?</t>
  </si>
  <si>
    <t>4</t>
  </si>
  <si>
    <t>Что кажется главным действием в этом продукте?</t>
  </si>
  <si>
    <t>5</t>
  </si>
  <si>
    <t>Какие ощущения вызывает первый экран? (одно-два слова)</t>
  </si>
  <si>
    <t>6</t>
  </si>
  <si>
    <t>Это больше похоже на приложение для мероприятий, знакомств, комьюнити, дейтинга или что-то другое?</t>
  </si>
  <si>
    <t>7</t>
  </si>
  <si>
    <t>Есть ли ощущение, что это приложение для знакомств (dating app)? (да / нет / частично)</t>
  </si>
  <si>
    <t>8</t>
  </si>
  <si>
    <t>Если да или частично — что именно создаёт такое ощущение?</t>
  </si>
  <si>
    <t>9</t>
  </si>
  <si>
    <t>Если нет — что подсказывает, что это не дейтинг?</t>
  </si>
  <si>
    <t>Раздел 2 — Основной путь пользователя</t>
  </si>
  <si>
    <t>Представьте, что вы хотите найти небольшую офлайн-встречу с новыми людьми. Пройдите сценарий в Figma так, как сделали бы сами. Двигайтесь по кликабельным элементам прототипа.</t>
  </si>
  <si>
    <t>Маршрут: Welcome → Инвайт-код → Принципы безопасности → Профиль → Подтверждение телефона → Встречи рядом → Карточка встречи → Запрос на участие → Ожидает подтверждения → (тапните по баннеру) → Уведомления → (тапните «ПОДТВЕРЖДЕНО») → Участие подтверждено → Чат встречи.</t>
  </si>
  <si>
    <t>Опишите своими словами, что вы только что сделали.</t>
  </si>
  <si>
    <t>На каком этапе вы запросили участие во встрече?</t>
  </si>
  <si>
    <t>Что означает статус «Ожидает подтверждения»?</t>
  </si>
  <si>
    <t>Кто, по вашему мнению, принимает решение по вашей заявке?</t>
  </si>
  <si>
    <t>Что означает «Участие подтверждено»?</t>
  </si>
  <si>
    <t>Что изменилось после подтверждения участия?</t>
  </si>
  <si>
    <t>Когда вы увидели точное место встречи?</t>
  </si>
  <si>
    <t>Было ли понятно, почему точное место скрыто до подтверждения?</t>
  </si>
  <si>
    <t>Можете ли вы написать в чат до подтверждения участия?</t>
  </si>
  <si>
    <t>10</t>
  </si>
  <si>
    <t>Что бы вы ожидали сделать дальше (после открытия чата)?</t>
  </si>
  <si>
    <t>Раздел 3 — Точное место встречи (location privacy)</t>
  </si>
  <si>
    <t>Откройте поочерёдно три состояния одной и той же встречи по ссылкам ниже и сравните, какая информация о месте видна в каждом из них.</t>
  </si>
  <si>
    <t>Какая информация о месте встречи видна на первом экране (до подачи заявки)?</t>
  </si>
  <si>
    <t>Видите ли вы точный адрес до подтверждения участия? (да / нет)</t>
  </si>
  <si>
    <t>Что меняется после подтверждения?</t>
  </si>
  <si>
    <t>Было ли понятно, что точное место откроется только после подтверждения? (да / нет / не сразу)</t>
  </si>
  <si>
    <t>Это кажется вам безопасной логикой или лишним усложнением?</t>
  </si>
  <si>
    <t>Как бы вы переформулировали текст про точное место, чтобы он был понятнее?</t>
  </si>
  <si>
    <t>Есть ли где-то ощущение, что точное место может быть доступно слишком рано?</t>
  </si>
  <si>
    <t>В какой момент, по вашему мнению, вы должны получить точный адрес?</t>
  </si>
  <si>
    <t>Раздел 4 — Подтверждение участия</t>
  </si>
  <si>
    <t>Пройдите ещё раз фрагмент: Карточка встречи → Запрос на участие → Ожидает → Подтверждено. Если интересно, посмотрите также состояние «Не в этот раз» (ссылка ниже).</t>
  </si>
  <si>
    <t>Как вы понимаете механику подтверждения участия своими словами?</t>
  </si>
  <si>
    <t>Подтверждение участия кажется вам полезной safety-функцией или неприятным барьером?</t>
  </si>
  <si>
    <t>Что должен видеть организатор, чтобы принять решение по вашей заявке?</t>
  </si>
  <si>
    <t>Чего организатор точно не должен видеть?</t>
  </si>
  <si>
    <t>Было ли понятно, почему нельзя просто сразу присоединиться?</t>
  </si>
  <si>
    <t>Как сделать подтверждение участия менее «жёстким» или менее похожим на отказ?</t>
  </si>
  <si>
    <t>Что вы ожидаете увидеть, если организатор не подтвердил участие?</t>
  </si>
  <si>
    <t>Какой текст для отказа звучал бы нормально и не обидно?</t>
  </si>
  <si>
    <t>Понятно ли, что «Не в этот раз» — это вежливый отказ, а не наказание?</t>
  </si>
  <si>
    <t>Что бы вы сделали после такого отказа?</t>
  </si>
  <si>
    <t>Раздел 5 — Если бы вы были организатором</t>
  </si>
  <si>
    <t>Представьте, что вы организатор встречи. Вам нужно посмотреть заявку человека и решить, подтвердить его участие или нет.</t>
  </si>
  <si>
    <t>Маршрут: Создать встречу → Дашборд встречи → Заявки на встречу → Карточка участника → Подтвердить / Не в этот раз / Лист ожидания.</t>
  </si>
  <si>
    <t>Понятно ли, что вы сейчас в роли организатора?</t>
  </si>
  <si>
    <t>Понятно ли, кто запросил участие во встрече?</t>
  </si>
  <si>
    <t>Достаточно ли информации, чтобы принять решение?</t>
  </si>
  <si>
    <t>Какие данные о человеке кажутся полезными?</t>
  </si>
  <si>
    <t>Какие данные были бы лишними или слишком личными?</t>
  </si>
  <si>
    <t>Подтверждение участия выглядит как контроль безопасности или как элитарный фильтр?</t>
  </si>
  <si>
    <t>Что бы вы добавили организатору для уверенности?</t>
  </si>
  <si>
    <t>Что может вызвать злоупотребление со стороны организатора?</t>
  </si>
  <si>
    <t>Понятно ли, что после подтверждения участник получит больше доступа?</t>
  </si>
  <si>
    <t>Понятно ли, что отказ не должен раскрывать точное место встречи?</t>
  </si>
  <si>
    <t>Раздел 6 — Пожаловаться и заблокировать</t>
  </si>
  <si>
    <t>Представьте, что пользователь вызывает у вас дискомфорт. Попробуйте найти, как пожаловаться или заблокировать его.</t>
  </si>
  <si>
    <t>Не подсматривайте! Попробуйте найти сами — нам как раз важно, насколько легко это находится без подсказки.</t>
  </si>
  <si>
    <t>Легко ли было найти «Пожаловаться»? (легко / не сразу / не нашёл сам)</t>
  </si>
  <si>
    <t>Легко ли было найти «Заблокировать»? (легко / не сразу / не нашёл сам)</t>
  </si>
  <si>
    <t>Понятно ли, чем «Пожаловаться» отличается от «Заблокировать»?</t>
  </si>
  <si>
    <t>Что вы ожидаете после нажатия «Пожаловаться»?</t>
  </si>
  <si>
    <t>Что вы ожидаете после «Заблокировать»?</t>
  </si>
  <si>
    <t>Достаточно ли понятно, что человек больше не сможет с вами взаимодействовать напрямую?</t>
  </si>
  <si>
    <t>Не выглядит ли safety-функциональность слишком пугающе или формально?</t>
  </si>
  <si>
    <t>Где ещё вы бы ожидали увидеть «Пожаловаться» или «Заблокировать»?</t>
  </si>
  <si>
    <t>Чувствуете ли вы, что у вас есть контроль, если что-то пойдёт не так?</t>
  </si>
  <si>
    <t>Раздел 7 — Чат встречи</t>
  </si>
  <si>
    <t>Откройте экран чата встречи и посмотрите его. Не пытайтесь отправить сообщение — это макет.</t>
  </si>
  <si>
    <t>Когда, по вашему мнению, становится доступен этот чат?</t>
  </si>
  <si>
    <t>Кто может писать в этот чат?</t>
  </si>
  <si>
    <t>Похоже ли это на личные сообщения или на чат конкретной встречи?</t>
  </si>
  <si>
    <t>Есть ли ощущение, что отсюда можно написать случайному человеку напрямую (как в личке)?</t>
  </si>
  <si>
    <t>Где бы вы пожаловались на конкретное сообщение?</t>
  </si>
  <si>
    <t>Что должно произойти, если в чате начнётся конфликт?</t>
  </si>
  <si>
    <t>Понятно ли, что чат связан с конкретной встречей?</t>
  </si>
  <si>
    <t>Понятно ли, что чат не открыт всем подряд?</t>
  </si>
  <si>
    <t>Раздел 8 — Модератор платформы (опционально)</t>
  </si>
  <si>
    <t>Опционально. Если есть желание/время — представьте, что вы внутренний модератор платформы. Вам нужно обработать жалобу.</t>
  </si>
  <si>
    <t>Понятно ли, что это очередь модерации?</t>
  </si>
  <si>
    <t>Понятно ли, на что поступила жалоба?</t>
  </si>
  <si>
    <t>Достаточно ли контекста для решения?</t>
  </si>
  <si>
    <t>Какие действия доступны модератору?</t>
  </si>
  <si>
    <t>Видно ли, что действие будет зафиксировано в журнале (audit log)?</t>
  </si>
  <si>
    <t>AI здесь выглядит как помощник или как тот, кто принимает решение?</t>
  </si>
  <si>
    <t>Есть ли ощущение, что серьёзные решения проверяются человеком?</t>
  </si>
  <si>
    <t>Чего не хватает модератору для уверенного решения?</t>
  </si>
  <si>
    <t>Раздел 9 — Финальные вопросы</t>
  </si>
  <si>
    <t>Последний блок. Постарайтесь отвечать одним-двумя предложениями — нам важно ваше впечатление, не сочинение.</t>
  </si>
  <si>
    <t>Как бы вы описали этот продукт одним предложением?</t>
  </si>
  <si>
    <t>Для кого этот продукт?</t>
  </si>
  <si>
    <t>Вы бы назвали это приложением для знакомств (dating app)? (да / нет / частично)</t>
  </si>
  <si>
    <t>Что в продукте больше всего вызывает доверие?</t>
  </si>
  <si>
    <t>Что вызывает недоверие?</t>
  </si>
  <si>
    <t>Понятно ли, как работает подтверждение участия? (да / частично / нет)</t>
  </si>
  <si>
    <t>Понятно ли, когда открывается точное место встречи? (да / частично / нет)</t>
  </si>
  <si>
    <t>Понятно ли, почему точное место скрыто? (да / частично / нет)</t>
  </si>
  <si>
    <t>Нашли ли вы «Пожаловаться» и «Заблокировать»? (оба / только одно / ни одно)</t>
  </si>
  <si>
    <t>Почувствовали ли вы, что у вас есть контроль над безопасностью? (да / частично / нет)</t>
  </si>
  <si>
    <t>11</t>
  </si>
  <si>
    <t>Вы бы сами запросили участие в такой встрече? (да / нет / возможно)</t>
  </si>
  <si>
    <t>12</t>
  </si>
  <si>
    <t>Вы бы сами создали такую встречу как организатор? (да / нет / возможно)</t>
  </si>
  <si>
    <t>13</t>
  </si>
  <si>
    <t>Что бы вы изменили в первую очередь?</t>
  </si>
  <si>
    <t>14</t>
  </si>
  <si>
    <t>Что было самым непонятным?</t>
  </si>
  <si>
    <t>15</t>
  </si>
  <si>
    <t>Что было самым ценным?</t>
  </si>
  <si>
    <t>16</t>
  </si>
  <si>
    <t>Что бы остановило вас от использования продукта?</t>
  </si>
  <si>
    <t>17</t>
  </si>
  <si>
    <t>Какой экран запомнился больше всего? (по теме / визуалу / тексту)</t>
  </si>
  <si>
    <t>18</t>
  </si>
  <si>
    <t>Какой экран вызвал меньше всего доверия?</t>
  </si>
  <si>
    <t>Спасибо! Сохраните файл и отправьте обратно тому, кто прислал вам этот тест.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</si>
</sst>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9" sqref="A9"/>
    </sheetView>
  </sheetViews>
  <sheetFormatPr baseColWidth="10" defaultRowHeight="16" x14ac:dyDescent="0.2"/>
  <cols>
    <col min="1" max="1" width="26.5" customWidth="1"/>
    <col min="2" max="3" width="6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8" spans="1:1" x14ac:dyDescent="0.2">
      <c r="A18" t="s">
        <v>13</v>
      </c>
    </row>
    <row r="19" spans="1:1" x14ac:dyDescent="0.2">
      <c r="A19" s="1" t="str">
        <f>HYPERLINK("https://www.figma.com/proto/xZkaKij7DhLPpRE3Ob0Znd?node-id=34-82&amp;starting-point-node-id=34-82","Открыть прототип (Flow A — основной путь). Дальше вкладки слева внизу — по разделам.")</f>
        <v>Открыть прототип (Flow A — основной путь). Дальше вкладки слева внизу — по разделам.</v>
      </c>
    </row>
    <row r="20" spans="1:1" x14ac:dyDescent="0.2">
      <c r="A20" t="s">
        <v>14</v>
      </c>
    </row>
    <row r="22" spans="1:1" x14ac:dyDescent="0.2">
      <c r="A22" t="s">
        <v>15</v>
      </c>
    </row>
    <row r="23" spans="1:1" x14ac:dyDescent="0.2">
      <c r="A23" t="s">
        <v>16</v>
      </c>
    </row>
    <row r="24" spans="1:1" x14ac:dyDescent="0.2">
      <c r="A24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25" sqref="C25"/>
    </sheetView>
  </sheetViews>
  <sheetFormatPr baseColWidth="10" defaultRowHeight="16" x14ac:dyDescent="0.2"/>
  <cols>
    <col min="1" max="1" width="16" customWidth="1"/>
    <col min="2" max="3" width="6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3" spans="1:3" x14ac:dyDescent="0.2">
      <c r="A3" s="1" t="str">
        <f>HYPERLINK("https://www.figma.com/proto/xZkaKij7DhLPpRE3Ob0Znd?node-id=34-82&amp;starting-point-node-id=34-82","Открыть Figma на первом экране (Welcome)")</f>
        <v>Открыть Figma на первом экране (Welcome)</v>
      </c>
    </row>
    <row r="5" spans="1:3" x14ac:dyDescent="0.2">
      <c r="A5" t="s">
        <v>24</v>
      </c>
      <c r="B5" t="s">
        <v>25</v>
      </c>
      <c r="C5" t="s">
        <v>26</v>
      </c>
    </row>
    <row r="6" spans="1:3" x14ac:dyDescent="0.2">
      <c r="A6" t="s">
        <v>27</v>
      </c>
      <c r="B6" t="s">
        <v>28</v>
      </c>
    </row>
    <row r="7" spans="1:3" x14ac:dyDescent="0.2">
      <c r="A7" t="s">
        <v>29</v>
      </c>
      <c r="B7" t="s">
        <v>30</v>
      </c>
    </row>
    <row r="8" spans="1:3" x14ac:dyDescent="0.2">
      <c r="A8" t="s">
        <v>31</v>
      </c>
      <c r="B8" t="s">
        <v>32</v>
      </c>
    </row>
    <row r="9" spans="1:3" x14ac:dyDescent="0.2">
      <c r="A9" t="s">
        <v>33</v>
      </c>
      <c r="B9" t="s">
        <v>34</v>
      </c>
    </row>
    <row r="10" spans="1:3" x14ac:dyDescent="0.2">
      <c r="A10" t="s">
        <v>35</v>
      </c>
      <c r="B10" t="s">
        <v>36</v>
      </c>
    </row>
    <row r="11" spans="1:3" x14ac:dyDescent="0.2">
      <c r="A11" t="s">
        <v>37</v>
      </c>
      <c r="B11" t="s">
        <v>38</v>
      </c>
    </row>
    <row r="12" spans="1:3" x14ac:dyDescent="0.2">
      <c r="A12" t="s">
        <v>39</v>
      </c>
      <c r="B12" t="s">
        <v>40</v>
      </c>
    </row>
    <row r="13" spans="1:3" x14ac:dyDescent="0.2">
      <c r="A13" t="s">
        <v>41</v>
      </c>
      <c r="B13" t="s">
        <v>42</v>
      </c>
    </row>
    <row r="14" spans="1:3" x14ac:dyDescent="0.2">
      <c r="A14" t="s">
        <v>43</v>
      </c>
      <c r="B1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23" sqref="C23"/>
    </sheetView>
  </sheetViews>
  <sheetFormatPr baseColWidth="10" defaultRowHeight="16" x14ac:dyDescent="0.2"/>
  <cols>
    <col min="1" max="1" width="21.5" customWidth="1"/>
    <col min="2" max="3" width="60" customWidth="1"/>
  </cols>
  <sheetData>
    <row r="1" spans="1:3" x14ac:dyDescent="0.2">
      <c r="A1" t="s">
        <v>45</v>
      </c>
    </row>
    <row r="2" spans="1:3" x14ac:dyDescent="0.2">
      <c r="A2" t="s">
        <v>46</v>
      </c>
    </row>
    <row r="3" spans="1:3" x14ac:dyDescent="0.2">
      <c r="A3" t="s">
        <v>47</v>
      </c>
    </row>
    <row r="4" spans="1:3" x14ac:dyDescent="0.2">
      <c r="A4" s="1" t="str">
        <f>HYPERLINK("https://www.figma.com/proto/xZkaKij7DhLPpRE3Ob0Znd?node-id=34-82&amp;starting-point-node-id=34-82","Открыть Flow A (основной путь)")</f>
        <v>Открыть Flow A (основной путь)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48</v>
      </c>
    </row>
    <row r="8" spans="1:3" x14ac:dyDescent="0.2">
      <c r="A8" t="s">
        <v>29</v>
      </c>
      <c r="B8" t="s">
        <v>49</v>
      </c>
    </row>
    <row r="9" spans="1:3" x14ac:dyDescent="0.2">
      <c r="A9" t="s">
        <v>31</v>
      </c>
      <c r="B9" t="s">
        <v>50</v>
      </c>
    </row>
    <row r="10" spans="1:3" x14ac:dyDescent="0.2">
      <c r="A10" t="s">
        <v>33</v>
      </c>
      <c r="B10" t="s">
        <v>51</v>
      </c>
    </row>
    <row r="11" spans="1:3" x14ac:dyDescent="0.2">
      <c r="A11" t="s">
        <v>35</v>
      </c>
      <c r="B11" t="s">
        <v>52</v>
      </c>
    </row>
    <row r="12" spans="1:3" x14ac:dyDescent="0.2">
      <c r="A12" t="s">
        <v>37</v>
      </c>
      <c r="B12" t="s">
        <v>53</v>
      </c>
    </row>
    <row r="13" spans="1:3" x14ac:dyDescent="0.2">
      <c r="A13" t="s">
        <v>39</v>
      </c>
      <c r="B13" t="s">
        <v>54</v>
      </c>
    </row>
    <row r="14" spans="1:3" x14ac:dyDescent="0.2">
      <c r="A14" t="s">
        <v>41</v>
      </c>
      <c r="B14" t="s">
        <v>55</v>
      </c>
    </row>
    <row r="15" spans="1:3" x14ac:dyDescent="0.2">
      <c r="A15" t="s">
        <v>43</v>
      </c>
      <c r="B15" t="s">
        <v>56</v>
      </c>
    </row>
    <row r="16" spans="1:3" x14ac:dyDescent="0.2">
      <c r="A16" t="s">
        <v>57</v>
      </c>
      <c r="B1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C28" sqref="C28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59</v>
      </c>
    </row>
    <row r="2" spans="1:3" x14ac:dyDescent="0.2">
      <c r="A2" t="s">
        <v>60</v>
      </c>
    </row>
    <row r="3" spans="1:3" x14ac:dyDescent="0.2">
      <c r="A3" s="1" t="str">
        <f>HYPERLINK("https://www.figma.com/design/xZkaKij7DhLPpRE3Ob0Znd?node-id=28-89","1. Карточка встречи — заявка ещё не отправлена")</f>
        <v>1. Карточка встречи — заявка ещё не отправлена</v>
      </c>
    </row>
    <row r="4" spans="1:3" x14ac:dyDescent="0.2">
      <c r="A4" s="1" t="str">
        <f>HYPERLINK("https://www.figma.com/design/xZkaKij7DhLPpRE3Ob0Znd?node-id=29-72","2. То же событие — ожидает подтверждения")</f>
        <v>2. То же событие — ожидает подтверждения</v>
      </c>
    </row>
    <row r="5" spans="1:3" x14ac:dyDescent="0.2">
      <c r="A5" s="1" t="str">
        <f>HYPERLINK("https://www.figma.com/design/xZkaKij7DhLPpRE3Ob0Znd?node-id=30-61","3. То же событие — участие подтверждено")</f>
        <v>3. То же событие — участие подтверждено</v>
      </c>
    </row>
    <row r="7" spans="1:3" x14ac:dyDescent="0.2">
      <c r="A7" t="s">
        <v>24</v>
      </c>
      <c r="B7" t="s">
        <v>25</v>
      </c>
      <c r="C7" t="s">
        <v>26</v>
      </c>
    </row>
    <row r="8" spans="1:3" x14ac:dyDescent="0.2">
      <c r="A8" t="s">
        <v>27</v>
      </c>
      <c r="B8" t="s">
        <v>61</v>
      </c>
    </row>
    <row r="9" spans="1:3" x14ac:dyDescent="0.2">
      <c r="A9" t="s">
        <v>29</v>
      </c>
      <c r="B9" t="s">
        <v>62</v>
      </c>
    </row>
    <row r="10" spans="1:3" x14ac:dyDescent="0.2">
      <c r="A10" t="s">
        <v>31</v>
      </c>
      <c r="B10" t="s">
        <v>63</v>
      </c>
    </row>
    <row r="11" spans="1:3" x14ac:dyDescent="0.2">
      <c r="A11" t="s">
        <v>33</v>
      </c>
      <c r="B11" t="s">
        <v>64</v>
      </c>
    </row>
    <row r="12" spans="1:3" x14ac:dyDescent="0.2">
      <c r="A12" t="s">
        <v>35</v>
      </c>
      <c r="B12" t="s">
        <v>65</v>
      </c>
    </row>
    <row r="13" spans="1:3" x14ac:dyDescent="0.2">
      <c r="A13" t="s">
        <v>37</v>
      </c>
      <c r="B13" t="s">
        <v>66</v>
      </c>
    </row>
    <row r="14" spans="1:3" x14ac:dyDescent="0.2">
      <c r="A14" t="s">
        <v>39</v>
      </c>
      <c r="B14" t="s">
        <v>67</v>
      </c>
    </row>
    <row r="15" spans="1:3" x14ac:dyDescent="0.2">
      <c r="A15" t="s">
        <v>41</v>
      </c>
      <c r="B1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27" sqref="C27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69</v>
      </c>
    </row>
    <row r="2" spans="1:3" x14ac:dyDescent="0.2">
      <c r="A2" t="s">
        <v>70</v>
      </c>
    </row>
    <row r="3" spans="1:3" x14ac:dyDescent="0.2">
      <c r="A3" s="1" t="str">
        <f>HYPERLINK("https://www.figma.com/design/xZkaKij7DhLPpRE3Ob0Znd?node-id=28-89","Карточка встречи (стартовая точка)")</f>
        <v>Карточка встречи (стартовая точка)</v>
      </c>
    </row>
    <row r="4" spans="1:3" x14ac:dyDescent="0.2">
      <c r="A4" s="1" t="str">
        <f>HYPERLINK("https://www.figma.com/design/xZkaKij7DhLPpRE3Ob0Znd?node-id=72-177","Состояние «Не в этот раз» (вежливый отказ)")</f>
        <v>Состояние «Не в этот раз» (вежливый отказ)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71</v>
      </c>
    </row>
    <row r="8" spans="1:3" x14ac:dyDescent="0.2">
      <c r="A8" t="s">
        <v>29</v>
      </c>
      <c r="B8" t="s">
        <v>72</v>
      </c>
    </row>
    <row r="9" spans="1:3" x14ac:dyDescent="0.2">
      <c r="A9" t="s">
        <v>31</v>
      </c>
      <c r="B9" t="s">
        <v>73</v>
      </c>
    </row>
    <row r="10" spans="1:3" x14ac:dyDescent="0.2">
      <c r="A10" t="s">
        <v>33</v>
      </c>
      <c r="B10" t="s">
        <v>74</v>
      </c>
    </row>
    <row r="11" spans="1:3" x14ac:dyDescent="0.2">
      <c r="A11" t="s">
        <v>35</v>
      </c>
      <c r="B11" t="s">
        <v>75</v>
      </c>
    </row>
    <row r="12" spans="1:3" x14ac:dyDescent="0.2">
      <c r="A12" t="s">
        <v>37</v>
      </c>
      <c r="B12" t="s">
        <v>76</v>
      </c>
    </row>
    <row r="13" spans="1:3" x14ac:dyDescent="0.2">
      <c r="A13" t="s">
        <v>39</v>
      </c>
      <c r="B13" t="s">
        <v>77</v>
      </c>
    </row>
    <row r="14" spans="1:3" x14ac:dyDescent="0.2">
      <c r="A14" t="s">
        <v>41</v>
      </c>
      <c r="B14" t="s">
        <v>78</v>
      </c>
    </row>
    <row r="15" spans="1:3" x14ac:dyDescent="0.2">
      <c r="A15" t="s">
        <v>43</v>
      </c>
      <c r="B15" t="s">
        <v>79</v>
      </c>
    </row>
    <row r="16" spans="1:3" x14ac:dyDescent="0.2">
      <c r="A16" t="s">
        <v>57</v>
      </c>
      <c r="B16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C24" sqref="C24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81</v>
      </c>
    </row>
    <row r="2" spans="1:3" x14ac:dyDescent="0.2">
      <c r="A2" t="s">
        <v>82</v>
      </c>
    </row>
    <row r="3" spans="1:3" x14ac:dyDescent="0.2">
      <c r="A3" s="1" t="str">
        <f>HYPERLINK("https://www.figma.com/proto/xZkaKij7DhLPpRE3Ob0Znd?node-id=35-87&amp;starting-point-node-id=35-87","Открыть Flow B (роль организатора)")</f>
        <v>Открыть Flow B (роль организатора)</v>
      </c>
    </row>
    <row r="4" spans="1:3" x14ac:dyDescent="0.2">
      <c r="A4" t="s">
        <v>83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84</v>
      </c>
    </row>
    <row r="8" spans="1:3" x14ac:dyDescent="0.2">
      <c r="A8" t="s">
        <v>29</v>
      </c>
      <c r="B8" t="s">
        <v>85</v>
      </c>
    </row>
    <row r="9" spans="1:3" x14ac:dyDescent="0.2">
      <c r="A9" t="s">
        <v>31</v>
      </c>
      <c r="B9" t="s">
        <v>86</v>
      </c>
    </row>
    <row r="10" spans="1:3" x14ac:dyDescent="0.2">
      <c r="A10" t="s">
        <v>33</v>
      </c>
      <c r="B10" t="s">
        <v>87</v>
      </c>
    </row>
    <row r="11" spans="1:3" x14ac:dyDescent="0.2">
      <c r="A11" t="s">
        <v>35</v>
      </c>
      <c r="B11" t="s">
        <v>88</v>
      </c>
    </row>
    <row r="12" spans="1:3" x14ac:dyDescent="0.2">
      <c r="A12" t="s">
        <v>37</v>
      </c>
      <c r="B12" t="s">
        <v>89</v>
      </c>
    </row>
    <row r="13" spans="1:3" x14ac:dyDescent="0.2">
      <c r="A13" t="s">
        <v>39</v>
      </c>
      <c r="B13" t="s">
        <v>90</v>
      </c>
    </row>
    <row r="14" spans="1:3" x14ac:dyDescent="0.2">
      <c r="A14" t="s">
        <v>41</v>
      </c>
      <c r="B14" t="s">
        <v>91</v>
      </c>
    </row>
    <row r="15" spans="1:3" x14ac:dyDescent="0.2">
      <c r="A15" t="s">
        <v>43</v>
      </c>
      <c r="B15" t="s">
        <v>92</v>
      </c>
    </row>
    <row r="16" spans="1:3" x14ac:dyDescent="0.2">
      <c r="A16" t="s">
        <v>57</v>
      </c>
      <c r="B16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selection activeCell="C26" sqref="C26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94</v>
      </c>
    </row>
    <row r="2" spans="1:3" x14ac:dyDescent="0.2">
      <c r="A2" t="s">
        <v>95</v>
      </c>
    </row>
    <row r="3" spans="1:3" x14ac:dyDescent="0.2">
      <c r="A3" t="s">
        <v>96</v>
      </c>
    </row>
    <row r="4" spans="1:3" x14ac:dyDescent="0.2">
      <c r="A4" s="1" t="str">
        <f>HYPERLINK("https://www.figma.com/design/xZkaKij7DhLPpRE3Ob0Znd?node-id=33-68","Открыть профиль пользователя")</f>
        <v>Открыть профиль пользователя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97</v>
      </c>
    </row>
    <row r="8" spans="1:3" x14ac:dyDescent="0.2">
      <c r="A8" t="s">
        <v>29</v>
      </c>
      <c r="B8" t="s">
        <v>98</v>
      </c>
    </row>
    <row r="9" spans="1:3" x14ac:dyDescent="0.2">
      <c r="A9" t="s">
        <v>31</v>
      </c>
      <c r="B9" t="s">
        <v>99</v>
      </c>
    </row>
    <row r="10" spans="1:3" x14ac:dyDescent="0.2">
      <c r="A10" t="s">
        <v>33</v>
      </c>
      <c r="B10" t="s">
        <v>100</v>
      </c>
    </row>
    <row r="11" spans="1:3" x14ac:dyDescent="0.2">
      <c r="A11" t="s">
        <v>35</v>
      </c>
      <c r="B11" t="s">
        <v>101</v>
      </c>
    </row>
    <row r="12" spans="1:3" x14ac:dyDescent="0.2">
      <c r="A12" t="s">
        <v>37</v>
      </c>
      <c r="B12" t="s">
        <v>102</v>
      </c>
    </row>
    <row r="13" spans="1:3" x14ac:dyDescent="0.2">
      <c r="A13" t="s">
        <v>39</v>
      </c>
      <c r="B13" t="s">
        <v>103</v>
      </c>
    </row>
    <row r="14" spans="1:3" x14ac:dyDescent="0.2">
      <c r="A14" t="s">
        <v>41</v>
      </c>
      <c r="B14" t="s">
        <v>104</v>
      </c>
    </row>
    <row r="15" spans="1:3" x14ac:dyDescent="0.2">
      <c r="A15" t="s">
        <v>43</v>
      </c>
      <c r="B15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selection activeCell="D20" sqref="D20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106</v>
      </c>
    </row>
    <row r="2" spans="1:3" x14ac:dyDescent="0.2">
      <c r="A2" t="s">
        <v>107</v>
      </c>
    </row>
    <row r="3" spans="1:3" x14ac:dyDescent="0.2">
      <c r="A3" s="1" t="str">
        <f>HYPERLINK("https://www.figma.com/design/xZkaKij7DhLPpRE3Ob0Znd?node-id=30-86","Открыть Чат встречи")</f>
        <v>Открыть Чат встречи</v>
      </c>
    </row>
    <row r="5" spans="1:3" x14ac:dyDescent="0.2">
      <c r="A5" t="s">
        <v>24</v>
      </c>
      <c r="B5" t="s">
        <v>25</v>
      </c>
      <c r="C5" t="s">
        <v>26</v>
      </c>
    </row>
    <row r="6" spans="1:3" x14ac:dyDescent="0.2">
      <c r="A6" t="s">
        <v>27</v>
      </c>
      <c r="B6" t="s">
        <v>108</v>
      </c>
    </row>
    <row r="7" spans="1:3" x14ac:dyDescent="0.2">
      <c r="A7" t="s">
        <v>29</v>
      </c>
      <c r="B7" t="s">
        <v>109</v>
      </c>
    </row>
    <row r="8" spans="1:3" x14ac:dyDescent="0.2">
      <c r="A8" t="s">
        <v>31</v>
      </c>
      <c r="B8" t="s">
        <v>110</v>
      </c>
    </row>
    <row r="9" spans="1:3" x14ac:dyDescent="0.2">
      <c r="A9" t="s">
        <v>33</v>
      </c>
      <c r="B9" t="s">
        <v>111</v>
      </c>
    </row>
    <row r="10" spans="1:3" x14ac:dyDescent="0.2">
      <c r="A10" t="s">
        <v>35</v>
      </c>
      <c r="B10" t="s">
        <v>112</v>
      </c>
    </row>
    <row r="11" spans="1:3" x14ac:dyDescent="0.2">
      <c r="A11" t="s">
        <v>37</v>
      </c>
      <c r="B11" t="s">
        <v>113</v>
      </c>
    </row>
    <row r="12" spans="1:3" x14ac:dyDescent="0.2">
      <c r="A12" t="s">
        <v>39</v>
      </c>
      <c r="B12" t="s">
        <v>114</v>
      </c>
    </row>
    <row r="13" spans="1:3" x14ac:dyDescent="0.2">
      <c r="A13" t="s">
        <v>41</v>
      </c>
      <c r="B1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activeCell="D21" sqref="D21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116</v>
      </c>
    </row>
    <row r="2" spans="1:3" x14ac:dyDescent="0.2">
      <c r="A2" t="s">
        <v>117</v>
      </c>
    </row>
    <row r="3" spans="1:3" x14ac:dyDescent="0.2">
      <c r="A3" s="1" t="str">
        <f>HYPERLINK("https://www.figma.com/proto/xZkaKij7DhLPpRE3Ob0Znd?node-id=36-2&amp;starting-point-node-id=36-2","Открыть Flow D (роль модератора)")</f>
        <v>Открыть Flow D (роль модератора)</v>
      </c>
    </row>
    <row r="5" spans="1:3" x14ac:dyDescent="0.2">
      <c r="A5" t="s">
        <v>24</v>
      </c>
      <c r="B5" t="s">
        <v>25</v>
      </c>
      <c r="C5" t="s">
        <v>26</v>
      </c>
    </row>
    <row r="6" spans="1:3" x14ac:dyDescent="0.2">
      <c r="A6" t="s">
        <v>27</v>
      </c>
      <c r="B6" t="s">
        <v>118</v>
      </c>
    </row>
    <row r="7" spans="1:3" x14ac:dyDescent="0.2">
      <c r="A7" t="s">
        <v>29</v>
      </c>
      <c r="B7" t="s">
        <v>119</v>
      </c>
    </row>
    <row r="8" spans="1:3" x14ac:dyDescent="0.2">
      <c r="A8" t="s">
        <v>31</v>
      </c>
      <c r="B8" t="s">
        <v>120</v>
      </c>
    </row>
    <row r="9" spans="1:3" x14ac:dyDescent="0.2">
      <c r="A9" t="s">
        <v>33</v>
      </c>
      <c r="B9" t="s">
        <v>121</v>
      </c>
    </row>
    <row r="10" spans="1:3" x14ac:dyDescent="0.2">
      <c r="A10" t="s">
        <v>35</v>
      </c>
      <c r="B10" t="s">
        <v>122</v>
      </c>
    </row>
    <row r="11" spans="1:3" x14ac:dyDescent="0.2">
      <c r="A11" t="s">
        <v>37</v>
      </c>
      <c r="B11" t="s">
        <v>123</v>
      </c>
    </row>
    <row r="12" spans="1:3" x14ac:dyDescent="0.2">
      <c r="A12" t="s">
        <v>39</v>
      </c>
      <c r="B12" t="s">
        <v>124</v>
      </c>
    </row>
    <row r="13" spans="1:3" x14ac:dyDescent="0.2">
      <c r="A13" t="s">
        <v>41</v>
      </c>
      <c r="B13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tabSelected="1" workbookViewId="0">
      <selection activeCell="E31" sqref="E31"/>
    </sheetView>
  </sheetViews>
  <sheetFormatPr baseColWidth="10" defaultRowHeight="16" x14ac:dyDescent="0.2"/>
  <cols>
    <col min="1" max="1" width="8" customWidth="1"/>
    <col min="2" max="3" width="60" customWidth="1"/>
  </cols>
  <sheetData>
    <row r="1" spans="1:3" x14ac:dyDescent="0.2">
      <c r="A1" t="s">
        <v>126</v>
      </c>
    </row>
    <row r="2" spans="1:3" x14ac:dyDescent="0.2">
      <c r="A2" t="s">
        <v>127</v>
      </c>
    </row>
    <row r="4" spans="1:3" x14ac:dyDescent="0.2">
      <c r="A4" t="s">
        <v>24</v>
      </c>
      <c r="B4" t="s">
        <v>25</v>
      </c>
      <c r="C4" t="s">
        <v>26</v>
      </c>
    </row>
    <row r="5" spans="1:3" x14ac:dyDescent="0.2">
      <c r="A5" t="s">
        <v>27</v>
      </c>
      <c r="B5" t="s">
        <v>128</v>
      </c>
    </row>
    <row r="6" spans="1:3" x14ac:dyDescent="0.2">
      <c r="A6" t="s">
        <v>29</v>
      </c>
      <c r="B6" t="s">
        <v>129</v>
      </c>
    </row>
    <row r="7" spans="1:3" x14ac:dyDescent="0.2">
      <c r="A7" t="s">
        <v>31</v>
      </c>
      <c r="B7" t="s">
        <v>130</v>
      </c>
    </row>
    <row r="8" spans="1:3" x14ac:dyDescent="0.2">
      <c r="A8" t="s">
        <v>33</v>
      </c>
      <c r="B8" t="s">
        <v>131</v>
      </c>
    </row>
    <row r="9" spans="1:3" x14ac:dyDescent="0.2">
      <c r="A9" t="s">
        <v>35</v>
      </c>
      <c r="B9" t="s">
        <v>132</v>
      </c>
    </row>
    <row r="10" spans="1:3" x14ac:dyDescent="0.2">
      <c r="A10" t="s">
        <v>37</v>
      </c>
      <c r="B10" t="s">
        <v>133</v>
      </c>
    </row>
    <row r="11" spans="1:3" x14ac:dyDescent="0.2">
      <c r="A11" t="s">
        <v>39</v>
      </c>
      <c r="B11" t="s">
        <v>134</v>
      </c>
    </row>
    <row r="12" spans="1:3" x14ac:dyDescent="0.2">
      <c r="A12" t="s">
        <v>41</v>
      </c>
      <c r="B12" t="s">
        <v>135</v>
      </c>
    </row>
    <row r="13" spans="1:3" x14ac:dyDescent="0.2">
      <c r="A13" t="s">
        <v>43</v>
      </c>
      <c r="B13" t="s">
        <v>136</v>
      </c>
    </row>
    <row r="14" spans="1:3" x14ac:dyDescent="0.2">
      <c r="A14" t="s">
        <v>57</v>
      </c>
      <c r="B14" t="s">
        <v>137</v>
      </c>
    </row>
    <row r="15" spans="1:3" x14ac:dyDescent="0.2">
      <c r="A15" t="s">
        <v>138</v>
      </c>
      <c r="B15" t="s">
        <v>139</v>
      </c>
    </row>
    <row r="16" spans="1:3" x14ac:dyDescent="0.2">
      <c r="A16" t="s">
        <v>140</v>
      </c>
      <c r="B16" t="s">
        <v>141</v>
      </c>
    </row>
    <row r="17" spans="1:2" x14ac:dyDescent="0.2">
      <c r="A17" t="s">
        <v>142</v>
      </c>
      <c r="B17" t="s">
        <v>143</v>
      </c>
    </row>
    <row r="18" spans="1:2" x14ac:dyDescent="0.2">
      <c r="A18" t="s">
        <v>144</v>
      </c>
      <c r="B18" t="s">
        <v>145</v>
      </c>
    </row>
    <row r="19" spans="1:2" x14ac:dyDescent="0.2">
      <c r="A19" t="s">
        <v>146</v>
      </c>
      <c r="B19" t="s">
        <v>147</v>
      </c>
    </row>
    <row r="20" spans="1:2" x14ac:dyDescent="0.2">
      <c r="A20" t="s">
        <v>148</v>
      </c>
      <c r="B20" t="s">
        <v>149</v>
      </c>
    </row>
    <row r="21" spans="1:2" x14ac:dyDescent="0.2">
      <c r="A21" t="s">
        <v>150</v>
      </c>
      <c r="B21" t="s">
        <v>151</v>
      </c>
    </row>
    <row r="22" spans="1:2" x14ac:dyDescent="0.2">
      <c r="A22" t="s">
        <v>152</v>
      </c>
      <c r="B22" t="s">
        <v>153</v>
      </c>
    </row>
    <row r="24" spans="1:2" x14ac:dyDescent="0.2">
      <c r="A2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1. Старт</vt:lpstr>
      <vt:lpstr>2. Первое впечатление</vt:lpstr>
      <vt:lpstr>3. Основной путь</vt:lpstr>
      <vt:lpstr>4. Точное место</vt:lpstr>
      <vt:lpstr>5. Подтверждение</vt:lpstr>
      <vt:lpstr>6. Организатор</vt:lpstr>
      <vt:lpstr>7. Жалоба и блок</vt:lpstr>
      <vt:lpstr>8. Чат встречи</vt:lpstr>
      <vt:lpstr>9. Модератор</vt:lpstr>
      <vt:lpstr>10. Финал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2026-05-22T15:13:17Z</dcterms:modified>
</cp:coreProperties>
</file>